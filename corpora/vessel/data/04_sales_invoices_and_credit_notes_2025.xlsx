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s" sheetId="1" state="visible" r:id="rId1"/>
    <sheet name="Management_Recognition" sheetId="2" state="visible" r:id="rId2"/>
    <sheet name="Revenue_By_Ship" sheetId="3" state="visible" r:id="rId3"/>
  </sheets>
  <definedNames>
    <definedName name="_xlnm._FilterDatabase" localSheetId="0" hidden="1">'Documents'!$A$1:$P$25</definedName>
    <definedName name="_xlnm._FilterDatabase" localSheetId="1" hidden="1">'Management_Recognition'!$A$1:$E$7</definedName>
    <definedName name="_xlnm._FilterDatabase" localSheetId="2" hidden="1">'Revenue_By_Ship'!$A$1:$F$8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-#,##0.00;&quot;-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9324a"/>
      </patternFill>
    </fill>
    <fill>
      <patternFill patternType="solid">
        <fgColor rgb="00f6ecd3"/>
      </patternFill>
    </fill>
  </fills>
  <borders count="3">
    <border>
      <left/>
      <right/>
      <top/>
      <bottom/>
      <diagonal/>
    </border>
    <border>
      <bottom style="thin">
        <color rgb="00c7cdd4"/>
      </bottom>
    </border>
    <border>
      <bottom style="hair">
        <color rgb="00dfe3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  <xf numFmtId="9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164" fontId="0" fillId="3" borderId="2" applyAlignment="1" pivotButton="0" quotePrefix="0" xfId="0">
      <alignment vertical="top" wrapText="1"/>
    </xf>
    <xf numFmtId="165" fontId="0" fillId="3" borderId="2" applyAlignment="1" pivotButton="0" quotePrefix="0" xfId="0">
      <alignment vertical="top" wrapText="1"/>
    </xf>
    <xf numFmtId="9" fontId="0" fillId="3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linked to vessel/project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'Revenue_By_Ship'!E1</f>
            </strRef>
          </tx>
          <spPr>
            <a:ln>
              <a:prstDash val="solid"/>
            </a:ln>
          </spPr>
          <cat>
            <numRef>
              <f>'Revenue_By_Ship'!$B$2:$B$6</f>
            </numRef>
          </cat>
          <val>
            <numRef>
              <f>'Revenue_By_Ship'!$E$2:$E$6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ocuments" displayName="SalesDocuments" ref="A1:P25" headerRowCount="1">
  <autoFilter ref="A1:P25"/>
  <tableColumns count="16">
    <tableColumn id="1" name="document_id"/>
    <tableColumn id="2" name="document_type"/>
    <tableColumn id="3" name="document_date"/>
    <tableColumn id="4" name="due_date"/>
    <tableColumn id="5" name="issuing_entity"/>
    <tableColumn id="6" name="customer_id"/>
    <tableColumn id="7" name="project_reference"/>
    <tableColumn id="8" name="description"/>
    <tableColumn id="9" name="currency"/>
    <tableColumn id="10" name="net_amount"/>
    <tableColumn id="11" name="vat_rate"/>
    <tableColumn id="12" name="vat_amount"/>
    <tableColumn id="13" name="gross_amount"/>
    <tableColumn id="14" name="status"/>
    <tableColumn id="15" name="accounting_treatment"/>
    <tableColumn id="16" name="sign_hi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2" customWidth="1" min="4" max="4"/>
    <col width="16" customWidth="1" min="5" max="5"/>
    <col width="13" customWidth="1" min="6" max="6"/>
    <col width="19" customWidth="1" min="7" max="7"/>
    <col width="42" customWidth="1" min="8" max="8"/>
    <col width="10" customWidth="1" min="9" max="9"/>
    <col width="12" customWidth="1" min="10" max="10"/>
    <col width="10" customWidth="1" min="11" max="11"/>
    <col width="12" customWidth="1" min="12" max="12"/>
    <col width="14" customWidth="1" min="13" max="13"/>
    <col width="10" customWidth="1" min="14" max="14"/>
    <col width="42" customWidth="1" min="15" max="15"/>
    <col width="11" customWidth="1" min="16" max="16"/>
  </cols>
  <sheetData>
    <row r="1" ht="32" customHeight="1">
      <c r="A1" s="1" t="inlineStr">
        <is>
          <t>document_id</t>
        </is>
      </c>
      <c r="B1" s="1" t="inlineStr">
        <is>
          <t>document_type</t>
        </is>
      </c>
      <c r="C1" s="1" t="inlineStr">
        <is>
          <t>document_date</t>
        </is>
      </c>
      <c r="D1" s="1" t="inlineStr">
        <is>
          <t>due_date</t>
        </is>
      </c>
      <c r="E1" s="1" t="inlineStr">
        <is>
          <t>issuing_entity</t>
        </is>
      </c>
      <c r="F1" s="1" t="inlineStr">
        <is>
          <t>customer_id</t>
        </is>
      </c>
      <c r="G1" s="1" t="inlineStr">
        <is>
          <t>project_reference</t>
        </is>
      </c>
      <c r="H1" s="1" t="inlineStr">
        <is>
          <t>description</t>
        </is>
      </c>
      <c r="I1" s="1" t="inlineStr">
        <is>
          <t>currency</t>
        </is>
      </c>
      <c r="J1" s="1" t="inlineStr">
        <is>
          <t>net_amount</t>
        </is>
      </c>
      <c r="K1" s="1" t="inlineStr">
        <is>
          <t>vat_rate</t>
        </is>
      </c>
      <c r="L1" s="1" t="inlineStr">
        <is>
          <t>vat_amount</t>
        </is>
      </c>
      <c r="M1" s="1" t="inlineStr">
        <is>
          <t>gross_amount</t>
        </is>
      </c>
      <c r="N1" s="1" t="inlineStr">
        <is>
          <t>status</t>
        </is>
      </c>
      <c r="O1" s="1" t="inlineStr">
        <is>
          <t>accounting_treatment</t>
        </is>
      </c>
      <c r="P1" s="1" t="inlineStr">
        <is>
          <t>sign_hint</t>
        </is>
      </c>
    </row>
    <row r="2">
      <c r="A2" s="2" t="inlineStr">
        <is>
          <t>DE-2024-1187</t>
        </is>
      </c>
      <c r="B2" s="2" t="inlineStr">
        <is>
          <t>invoice</t>
        </is>
      </c>
      <c r="C2" s="3" t="n">
        <v>45427</v>
      </c>
      <c r="D2" s="3" t="n">
        <v>45457</v>
      </c>
      <c r="E2" s="2" t="inlineStr">
        <is>
          <t>HVW-DE</t>
        </is>
      </c>
      <c r="F2" s="2" t="inlineStr">
        <is>
          <t>CUS-NO-014</t>
        </is>
      </c>
      <c r="G2" s="2" t="inlineStr">
        <is>
          <t>NB-407</t>
        </is>
      </c>
      <c r="H2" s="2" t="inlineStr">
        <is>
          <t>Nordlicht contract deposit</t>
        </is>
      </c>
      <c r="I2" s="2" t="inlineStr">
        <is>
          <t>EUR</t>
        </is>
      </c>
      <c r="J2" s="4" t="n">
        <v>1020000</v>
      </c>
      <c r="K2" s="5" t="n">
        <v>0</v>
      </c>
      <c r="L2" s="4" t="n">
        <v>0</v>
      </c>
      <c r="M2" s="4" t="n">
        <v>1020000</v>
      </c>
      <c r="N2" s="2" t="inlineStr">
        <is>
          <t>posted</t>
        </is>
      </c>
      <c r="O2" s="2" t="inlineStr">
        <is>
          <t>contract liability until acceptance</t>
        </is>
      </c>
      <c r="P2" s="2" t="n">
        <v>1</v>
      </c>
    </row>
    <row r="3">
      <c r="A3" s="2" t="inlineStr">
        <is>
          <t>DE-2025-0211</t>
        </is>
      </c>
      <c r="B3" s="2" t="inlineStr">
        <is>
          <t>invoice</t>
        </is>
      </c>
      <c r="C3" s="3" t="n">
        <v>45688</v>
      </c>
      <c r="D3" s="3" t="n">
        <v>45718</v>
      </c>
      <c r="E3" s="2" t="inlineStr">
        <is>
          <t>HVW-DE</t>
        </is>
      </c>
      <c r="F3" s="2" t="inlineStr">
        <is>
          <t>CUS-NO-014</t>
        </is>
      </c>
      <c r="G3" s="2" t="inlineStr">
        <is>
          <t>HH-407</t>
        </is>
      </c>
      <c r="H3" s="2" t="inlineStr">
        <is>
          <t>Nordlicht launch milestone</t>
        </is>
      </c>
      <c r="I3" s="2" t="inlineStr">
        <is>
          <t>EUR</t>
        </is>
      </c>
      <c r="J3" s="4" t="n">
        <v>1020000</v>
      </c>
      <c r="K3" s="5" t="n">
        <v>0</v>
      </c>
      <c r="L3" s="4" t="n">
        <v>0</v>
      </c>
      <c r="M3" s="4" t="n">
        <v>1020000</v>
      </c>
      <c r="N3" s="2" t="inlineStr">
        <is>
          <t>posted</t>
        </is>
      </c>
      <c r="O3" s="2" t="inlineStr">
        <is>
          <t>contract liability until acceptance</t>
        </is>
      </c>
      <c r="P3" s="2" t="n">
        <v>1</v>
      </c>
    </row>
    <row r="4">
      <c r="A4" s="2" t="inlineStr">
        <is>
          <t>DE-2025-0478</t>
        </is>
      </c>
      <c r="B4" s="2" t="inlineStr">
        <is>
          <t>invoice</t>
        </is>
      </c>
      <c r="C4" s="3" t="n">
        <v>45744</v>
      </c>
      <c r="D4" s="3" t="n">
        <v>45774</v>
      </c>
      <c r="E4" s="2" t="inlineStr">
        <is>
          <t>HVW-DE</t>
        </is>
      </c>
      <c r="F4" s="2" t="inlineStr">
        <is>
          <t>CUS-NO-014</t>
        </is>
      </c>
      <c r="G4" s="2" t="inlineStr">
        <is>
          <t>VSL-2407</t>
        </is>
      </c>
      <c r="H4" s="2" t="inlineStr">
        <is>
          <t>Nordlicht acceptance and retention</t>
        </is>
      </c>
      <c r="I4" s="2" t="inlineStr">
        <is>
          <t>EUR</t>
        </is>
      </c>
      <c r="J4" s="4" t="n">
        <v>1360000</v>
      </c>
      <c r="K4" s="5" t="n">
        <v>0</v>
      </c>
      <c r="L4" s="4" t="n">
        <v>0</v>
      </c>
      <c r="M4" s="4" t="n">
        <v>1360000</v>
      </c>
      <c r="N4" s="2" t="inlineStr">
        <is>
          <t>posted</t>
        </is>
      </c>
      <c r="O4" s="2" t="inlineStr">
        <is>
          <t>revenue on customer acceptance</t>
        </is>
      </c>
      <c r="P4" s="2" t="n">
        <v>1</v>
      </c>
    </row>
    <row r="5">
      <c r="A5" s="2" t="inlineStr">
        <is>
          <t>PL/2024/00881</t>
        </is>
      </c>
      <c r="B5" s="2" t="inlineStr">
        <is>
          <t>invoice</t>
        </is>
      </c>
      <c r="C5" s="3" t="n">
        <v>45616</v>
      </c>
      <c r="D5" s="3" t="n">
        <v>45646</v>
      </c>
      <c r="E5" s="2" t="inlineStr">
        <is>
          <t>BHW-PL</t>
        </is>
      </c>
      <c r="F5" s="2" t="inlineStr">
        <is>
          <t>CUS-DK-022</t>
        </is>
      </c>
      <c r="G5" s="2" t="inlineStr">
        <is>
          <t>BALTIC-11</t>
        </is>
      </c>
      <c r="H5" s="2" t="inlineStr">
        <is>
          <t>Baltic Surveyor keel milestone</t>
        </is>
      </c>
      <c r="I5" s="2" t="inlineStr">
        <is>
          <t>EUR</t>
        </is>
      </c>
      <c r="J5" s="4" t="n">
        <v>800000</v>
      </c>
      <c r="K5" s="5" t="n">
        <v>0</v>
      </c>
      <c r="L5" s="4" t="n">
        <v>0</v>
      </c>
      <c r="M5" s="4" t="n">
        <v>800000</v>
      </c>
      <c r="N5" s="2" t="inlineStr">
        <is>
          <t>posted</t>
        </is>
      </c>
      <c r="O5" s="2" t="inlineStr">
        <is>
          <t>contract liability until acceptance</t>
        </is>
      </c>
      <c r="P5" s="2" t="n">
        <v>1</v>
      </c>
    </row>
    <row r="6">
      <c r="A6" s="2" t="inlineStr">
        <is>
          <t>PL/2025/00317</t>
        </is>
      </c>
      <c r="B6" s="2" t="inlineStr">
        <is>
          <t>invoice</t>
        </is>
      </c>
      <c r="C6" s="3" t="n">
        <v>45777</v>
      </c>
      <c r="D6" s="3" t="n">
        <v>45807</v>
      </c>
      <c r="E6" s="2" t="inlineStr">
        <is>
          <t>BHW-PL</t>
        </is>
      </c>
      <c r="F6" s="2" t="inlineStr">
        <is>
          <t>CUS-DK-022</t>
        </is>
      </c>
      <c r="G6" s="2" t="inlineStr">
        <is>
          <t>GD-11/B</t>
        </is>
      </c>
      <c r="H6" s="2" t="inlineStr">
        <is>
          <t>Baltic Surveyor machinery milestone</t>
        </is>
      </c>
      <c r="I6" s="2" t="inlineStr">
        <is>
          <t>EUR</t>
        </is>
      </c>
      <c r="J6" s="4" t="n">
        <v>1200000</v>
      </c>
      <c r="K6" s="5" t="n">
        <v>0</v>
      </c>
      <c r="L6" s="4" t="n">
        <v>0</v>
      </c>
      <c r="M6" s="4" t="n">
        <v>1200000</v>
      </c>
      <c r="N6" s="2" t="inlineStr">
        <is>
          <t>posted</t>
        </is>
      </c>
      <c r="O6" s="2" t="inlineStr">
        <is>
          <t>contract liability until acceptance</t>
        </is>
      </c>
      <c r="P6" s="2" t="n">
        <v>1</v>
      </c>
    </row>
    <row r="7">
      <c r="A7" s="2" t="inlineStr">
        <is>
          <t>PL/2025/00642</t>
        </is>
      </c>
      <c r="B7" s="2" t="inlineStr">
        <is>
          <t>invoice</t>
        </is>
      </c>
      <c r="C7" s="3" t="n">
        <v>45869</v>
      </c>
      <c r="D7" s="3" t="n">
        <v>45899</v>
      </c>
      <c r="E7" s="2" t="inlineStr">
        <is>
          <t>BHW-PL</t>
        </is>
      </c>
      <c r="F7" s="2" t="inlineStr">
        <is>
          <t>CUS-DK-022</t>
        </is>
      </c>
      <c r="G7" s="2" t="inlineStr">
        <is>
          <t>Danzig-11</t>
        </is>
      </c>
      <c r="H7" s="2" t="inlineStr">
        <is>
          <t>Baltic Surveyor sea-trial milestone</t>
        </is>
      </c>
      <c r="I7" s="2" t="inlineStr">
        <is>
          <t>EUR</t>
        </is>
      </c>
      <c r="J7" s="4" t="n">
        <v>1200000</v>
      </c>
      <c r="K7" s="5" t="n">
        <v>0</v>
      </c>
      <c r="L7" s="4" t="n">
        <v>0</v>
      </c>
      <c r="M7" s="4" t="n">
        <v>1200000</v>
      </c>
      <c r="N7" s="2" t="inlineStr">
        <is>
          <t>posted</t>
        </is>
      </c>
      <c r="O7" s="2" t="inlineStr">
        <is>
          <t>contract liability until acceptance</t>
        </is>
      </c>
      <c r="P7" s="2" t="n">
        <v>1</v>
      </c>
    </row>
    <row r="8">
      <c r="A8" s="2" t="inlineStr">
        <is>
          <t>PL/2025/00813</t>
        </is>
      </c>
      <c r="B8" s="2" t="inlineStr">
        <is>
          <t>invoice</t>
        </is>
      </c>
      <c r="C8" s="3" t="n">
        <v>45919</v>
      </c>
      <c r="D8" s="3" t="n">
        <v>45949</v>
      </c>
      <c r="E8" s="2" t="inlineStr">
        <is>
          <t>BHW-PL</t>
        </is>
      </c>
      <c r="F8" s="2" t="inlineStr">
        <is>
          <t>CUS-DK-022</t>
        </is>
      </c>
      <c r="G8" s="2" t="inlineStr">
        <is>
          <t>VSL-2411</t>
        </is>
      </c>
      <c r="H8" s="2" t="inlineStr">
        <is>
          <t>Baltic Surveyor acceptance</t>
        </is>
      </c>
      <c r="I8" s="2" t="inlineStr">
        <is>
          <t>EUR</t>
        </is>
      </c>
      <c r="J8" s="4" t="n">
        <v>800000</v>
      </c>
      <c r="K8" s="5" t="n">
        <v>0</v>
      </c>
      <c r="L8" s="4" t="n">
        <v>0</v>
      </c>
      <c r="M8" s="4" t="n">
        <v>800000</v>
      </c>
      <c r="N8" s="2" t="inlineStr">
        <is>
          <t>posted</t>
        </is>
      </c>
      <c r="O8" s="2" t="inlineStr">
        <is>
          <t>revenue on customer acceptance</t>
        </is>
      </c>
      <c r="P8" s="2" t="n">
        <v>1</v>
      </c>
    </row>
    <row r="9">
      <c r="A9" s="2" t="inlineStr">
        <is>
          <t>PL/2025/00599</t>
        </is>
      </c>
      <c r="B9" s="2" t="inlineStr">
        <is>
          <t>invoice</t>
        </is>
      </c>
      <c r="C9" s="3" t="n">
        <v>45838</v>
      </c>
      <c r="D9" s="3" t="n">
        <v>45868</v>
      </c>
      <c r="E9" s="2" t="inlineStr">
        <is>
          <t>BHW-PL</t>
        </is>
      </c>
      <c r="F9" s="2" t="inlineStr">
        <is>
          <t>CUS-PL-008</t>
        </is>
      </c>
      <c r="G9" s="2" t="inlineStr">
        <is>
          <t>AP-77</t>
        </is>
      </c>
      <c r="H9" s="2" t="inlineStr">
        <is>
          <t>Amber Pilot steel and engine</t>
        </is>
      </c>
      <c r="I9" s="2" t="inlineStr">
        <is>
          <t>EUR</t>
        </is>
      </c>
      <c r="J9" s="4" t="n">
        <v>592000</v>
      </c>
      <c r="K9" s="5" t="n">
        <v>0.23</v>
      </c>
      <c r="L9" s="4" t="n">
        <v>136160</v>
      </c>
      <c r="M9" s="4" t="n">
        <v>728160</v>
      </c>
      <c r="N9" s="2" t="inlineStr">
        <is>
          <t>posted</t>
        </is>
      </c>
      <c r="O9" s="2" t="inlineStr">
        <is>
          <t>contract liability until acceptance</t>
        </is>
      </c>
      <c r="P9" s="2" t="n">
        <v>1</v>
      </c>
    </row>
    <row r="10">
      <c r="A10" s="6" t="inlineStr">
        <is>
          <t>PL/2025/00901</t>
        </is>
      </c>
      <c r="B10" s="6" t="inlineStr">
        <is>
          <t>invoice</t>
        </is>
      </c>
      <c r="C10" s="7" t="n">
        <v>45961</v>
      </c>
      <c r="D10" s="7" t="n">
        <v>45991</v>
      </c>
      <c r="E10" s="6" t="inlineStr">
        <is>
          <t>BHW-PL</t>
        </is>
      </c>
      <c r="F10" s="6" t="inlineStr">
        <is>
          <t>CUS-PL-008</t>
        </is>
      </c>
      <c r="G10" s="6" t="inlineStr">
        <is>
          <t>AMBER-77</t>
        </is>
      </c>
      <c r="H10" s="6" t="inlineStr">
        <is>
          <t>Amber Pilot launch</t>
        </is>
      </c>
      <c r="I10" s="6" t="inlineStr">
        <is>
          <t>EUR</t>
        </is>
      </c>
      <c r="J10" s="8" t="n">
        <v>592000</v>
      </c>
      <c r="K10" s="9" t="n">
        <v>0.22</v>
      </c>
      <c r="L10" s="8" t="n">
        <v>130240</v>
      </c>
      <c r="M10" s="8" t="n">
        <v>722240</v>
      </c>
      <c r="N10" s="6" t="inlineStr">
        <is>
          <t>posted</t>
        </is>
      </c>
      <c r="O10" s="6" t="inlineStr">
        <is>
          <t>contract liability; VAT rate copied from old template</t>
        </is>
      </c>
      <c r="P10" s="6" t="n">
        <v>1</v>
      </c>
    </row>
    <row r="11">
      <c r="A11" s="2" t="inlineStr">
        <is>
          <t>PL/2025/01088</t>
        </is>
      </c>
      <c r="B11" s="2" t="inlineStr">
        <is>
          <t>invoice</t>
        </is>
      </c>
      <c r="C11" s="3" t="n">
        <v>46003</v>
      </c>
      <c r="D11" s="3" t="n">
        <v>46033</v>
      </c>
      <c r="E11" s="2" t="inlineStr">
        <is>
          <t>BHW-PL</t>
        </is>
      </c>
      <c r="F11" s="2" t="inlineStr">
        <is>
          <t>CUS-PL-008</t>
        </is>
      </c>
      <c r="G11" s="2" t="inlineStr">
        <is>
          <t>VSL-2504</t>
        </is>
      </c>
      <c r="H11" s="2" t="inlineStr">
        <is>
          <t>Amber Pilot acceptance</t>
        </is>
      </c>
      <c r="I11" s="2" t="inlineStr">
        <is>
          <t>EUR</t>
        </is>
      </c>
      <c r="J11" s="4" t="n">
        <v>296000</v>
      </c>
      <c r="K11" s="5" t="n">
        <v>0.23</v>
      </c>
      <c r="L11" s="4" t="n">
        <v>68080</v>
      </c>
      <c r="M11" s="4" t="n">
        <v>364080</v>
      </c>
      <c r="N11" s="2" t="inlineStr">
        <is>
          <t>posted</t>
        </is>
      </c>
      <c r="O11" s="2" t="inlineStr">
        <is>
          <t>revenue on customer acceptance</t>
        </is>
      </c>
      <c r="P11" s="2" t="n">
        <v>1</v>
      </c>
    </row>
    <row r="12">
      <c r="A12" s="2" t="inlineStr">
        <is>
          <t>DE-2025-1032</t>
        </is>
      </c>
      <c r="B12" s="2" t="inlineStr">
        <is>
          <t>invoice</t>
        </is>
      </c>
      <c r="C12" s="3" t="n">
        <v>45808</v>
      </c>
      <c r="D12" s="3" t="n">
        <v>45838</v>
      </c>
      <c r="E12" s="2" t="inlineStr">
        <is>
          <t>HVW-DE</t>
        </is>
      </c>
      <c r="F12" s="2" t="inlineStr">
        <is>
          <t>CUS-DE-031</t>
        </is>
      </c>
      <c r="G12" s="2" t="inlineStr">
        <is>
          <t>ELBE-RUNNER</t>
        </is>
      </c>
      <c r="H12" s="2" t="inlineStr">
        <is>
          <t>Elbe Runner contract deposit</t>
        </is>
      </c>
      <c r="I12" s="2" t="inlineStr">
        <is>
          <t>EUR</t>
        </is>
      </c>
      <c r="J12" s="4" t="n">
        <v>705000</v>
      </c>
      <c r="K12" s="5" t="n">
        <v>0.19</v>
      </c>
      <c r="L12" s="4" t="n">
        <v>133950</v>
      </c>
      <c r="M12" s="4" t="n">
        <v>838950</v>
      </c>
      <c r="N12" s="2" t="inlineStr">
        <is>
          <t>posted</t>
        </is>
      </c>
      <c r="O12" s="2" t="inlineStr">
        <is>
          <t>customer advance; no revenue before acceptance</t>
        </is>
      </c>
      <c r="P12" s="2" t="n">
        <v>1</v>
      </c>
    </row>
    <row r="13">
      <c r="A13" s="2" t="inlineStr">
        <is>
          <t>PL/2025/00977</t>
        </is>
      </c>
      <c r="B13" s="2" t="inlineStr">
        <is>
          <t>invoice</t>
        </is>
      </c>
      <c r="C13" s="3" t="n">
        <v>45991</v>
      </c>
      <c r="D13" s="3" t="n">
        <v>46021</v>
      </c>
      <c r="E13" s="2" t="inlineStr">
        <is>
          <t>BHW-PL</t>
        </is>
      </c>
      <c r="F13" s="2" t="inlineStr">
        <is>
          <t>CUS-DE-031</t>
        </is>
      </c>
      <c r="G13" s="2" t="inlineStr">
        <is>
          <t>ER-02</t>
        </is>
      </c>
      <c r="H13" s="2" t="inlineStr">
        <is>
          <t>Elbe Runner hull milestone</t>
        </is>
      </c>
      <c r="I13" s="2" t="inlineStr">
        <is>
          <t>EUR</t>
        </is>
      </c>
      <c r="J13" s="4" t="n">
        <v>470000</v>
      </c>
      <c r="K13" s="5" t="n">
        <v>0</v>
      </c>
      <c r="L13" s="4" t="n">
        <v>0</v>
      </c>
      <c r="M13" s="4" t="n">
        <v>470000</v>
      </c>
      <c r="N13" s="2" t="inlineStr">
        <is>
          <t>posted</t>
        </is>
      </c>
      <c r="O13" s="2" t="inlineStr">
        <is>
          <t>customer advance; intra-EU treatment pending evidence</t>
        </is>
      </c>
      <c r="P13" s="2" t="n">
        <v>1</v>
      </c>
    </row>
    <row r="14">
      <c r="A14" s="2" t="inlineStr">
        <is>
          <t>DE-2025-0777</t>
        </is>
      </c>
      <c r="B14" s="2" t="inlineStr">
        <is>
          <t>invoice</t>
        </is>
      </c>
      <c r="C14" s="3" t="n">
        <v>45726</v>
      </c>
      <c r="D14" s="3" t="n">
        <v>45756</v>
      </c>
      <c r="E14" s="2" t="inlineStr">
        <is>
          <t>HVW-DE</t>
        </is>
      </c>
      <c r="F14" s="2" t="inlineStr">
        <is>
          <t>CUS-SE-041</t>
        </is>
      </c>
      <c r="G14" s="2" t="inlineStr">
        <is>
          <t>TUG-X6</t>
        </is>
      </c>
      <c r="H14" s="2" t="inlineStr">
        <is>
          <t>Refundable reservation deposit for Hansa Tug</t>
        </is>
      </c>
      <c r="I14" s="2" t="inlineStr">
        <is>
          <t>EUR</t>
        </is>
      </c>
      <c r="J14" s="4" t="n">
        <v>310000</v>
      </c>
      <c r="K14" s="5" t="n">
        <v>0</v>
      </c>
      <c r="L14" s="4" t="n">
        <v>0</v>
      </c>
      <c r="M14" s="4" t="n">
        <v>310000</v>
      </c>
      <c r="N14" s="2" t="inlineStr">
        <is>
          <t>posted</t>
        </is>
      </c>
      <c r="O14" s="2" t="inlineStr">
        <is>
          <t>refundable liability, not revenue</t>
        </is>
      </c>
      <c r="P14" s="2" t="n">
        <v>1</v>
      </c>
    </row>
    <row r="15">
      <c r="A15" s="2" t="inlineStr">
        <is>
          <t>DE-CN-2025-0777</t>
        </is>
      </c>
      <c r="B15" s="2" t="inlineStr">
        <is>
          <t>credit_note</t>
        </is>
      </c>
      <c r="C15" s="3" t="n">
        <v>45810</v>
      </c>
      <c r="D15" s="3" t="n">
        <v>45840</v>
      </c>
      <c r="E15" s="2" t="inlineStr">
        <is>
          <t>HVW-DE</t>
        </is>
      </c>
      <c r="F15" s="2" t="inlineStr">
        <is>
          <t>CUS-SE-041</t>
        </is>
      </c>
      <c r="G15" s="2" t="inlineStr">
        <is>
          <t>LOI-6</t>
        </is>
      </c>
      <c r="H15" s="2" t="inlineStr">
        <is>
          <t>Cancellation credit for Hansa Tug reservation</t>
        </is>
      </c>
      <c r="I15" s="2" t="inlineStr">
        <is>
          <t>EUR</t>
        </is>
      </c>
      <c r="J15" s="4" t="n">
        <v>310000</v>
      </c>
      <c r="K15" s="5" t="n">
        <v>0</v>
      </c>
      <c r="L15" s="4" t="n">
        <v>0</v>
      </c>
      <c r="M15" s="4" t="n">
        <v>310000</v>
      </c>
      <c r="N15" s="2" t="inlineStr">
        <is>
          <t>posted</t>
        </is>
      </c>
      <c r="O15" s="2" t="inlineStr">
        <is>
          <t>reduces refundable liability</t>
        </is>
      </c>
      <c r="P15" s="2" t="n">
        <v>-1</v>
      </c>
    </row>
    <row r="16">
      <c r="A16" s="2" t="inlineStr">
        <is>
          <t>DE-2025-1310</t>
        </is>
      </c>
      <c r="B16" s="2" t="inlineStr">
        <is>
          <t>invoice</t>
        </is>
      </c>
      <c r="C16" s="3" t="n">
        <v>45853</v>
      </c>
      <c r="D16" s="3" t="n">
        <v>45883</v>
      </c>
      <c r="E16" s="2" t="inlineStr">
        <is>
          <t>HVW-DE</t>
        </is>
      </c>
      <c r="F16" s="2" t="inlineStr">
        <is>
          <t>CUS-UK-017</t>
        </is>
      </c>
      <c r="G16" s="2" t="inlineStr">
        <is>
          <t>REFIT-NCF-1</t>
        </is>
      </c>
      <c r="H16" s="2" t="inlineStr">
        <is>
          <t>Ferry refit package</t>
        </is>
      </c>
      <c r="I16" s="2" t="inlineStr">
        <is>
          <t>EUR</t>
        </is>
      </c>
      <c r="J16" s="4" t="n">
        <v>920000</v>
      </c>
      <c r="K16" s="5" t="n">
        <v>0</v>
      </c>
      <c r="L16" s="4" t="n">
        <v>0</v>
      </c>
      <c r="M16" s="4" t="n">
        <v>920000</v>
      </c>
      <c r="N16" s="2" t="inlineStr">
        <is>
          <t>posted</t>
        </is>
      </c>
      <c r="O16" s="2" t="inlineStr">
        <is>
          <t>service revenue over completed work packages</t>
        </is>
      </c>
      <c r="P16" s="2" t="n">
        <v>1</v>
      </c>
    </row>
    <row r="17">
      <c r="A17" s="2" t="inlineStr">
        <is>
          <t>PL/2025/00771</t>
        </is>
      </c>
      <c r="B17" s="2" t="inlineStr">
        <is>
          <t>invoice</t>
        </is>
      </c>
      <c r="C17" s="3" t="n">
        <v>45889</v>
      </c>
      <c r="D17" s="3" t="n">
        <v>45919</v>
      </c>
      <c r="E17" s="2" t="inlineStr">
        <is>
          <t>BHW-PL</t>
        </is>
      </c>
      <c r="F17" s="2" t="inlineStr">
        <is>
          <t>CUS-DE-044</t>
        </is>
      </c>
      <c r="G17" s="2" t="inlineStr">
        <is>
          <t>REPAIR-HLG</t>
        </is>
      </c>
      <c r="H17" s="2" t="inlineStr">
        <is>
          <t>Hull repair and dry-dock</t>
        </is>
      </c>
      <c r="I17" s="2" t="inlineStr">
        <is>
          <t>EUR</t>
        </is>
      </c>
      <c r="J17" s="4" t="n">
        <v>620000</v>
      </c>
      <c r="K17" s="5" t="n">
        <v>0</v>
      </c>
      <c r="L17" s="4" t="n">
        <v>0</v>
      </c>
      <c r="M17" s="4" t="n">
        <v>620000</v>
      </c>
      <c r="N17" s="2" t="inlineStr">
        <is>
          <t>posted</t>
        </is>
      </c>
      <c r="O17" s="2" t="inlineStr">
        <is>
          <t>service revenue on completion</t>
        </is>
      </c>
      <c r="P17" s="2" t="n">
        <v>1</v>
      </c>
    </row>
    <row r="18">
      <c r="A18" s="2" t="inlineStr">
        <is>
          <t>DE-2025-1442</t>
        </is>
      </c>
      <c r="B18" s="2" t="inlineStr">
        <is>
          <t>invoice</t>
        </is>
      </c>
      <c r="C18" s="3" t="n">
        <v>45939</v>
      </c>
      <c r="D18" s="3" t="n">
        <v>45969</v>
      </c>
      <c r="E18" s="2" t="inlineStr">
        <is>
          <t>HVW-DE</t>
        </is>
      </c>
      <c r="F18" s="2" t="inlineStr">
        <is>
          <t>CUS-NO-014</t>
        </is>
      </c>
      <c r="G18" s="2" t="inlineStr">
        <is>
          <t>VSL-2407</t>
        </is>
      </c>
      <c r="H18" s="2" t="inlineStr">
        <is>
          <t>Post-delivery science-module upgrade</t>
        </is>
      </c>
      <c r="I18" s="2" t="inlineStr">
        <is>
          <t>EUR</t>
        </is>
      </c>
      <c r="J18" s="4" t="n">
        <v>200000</v>
      </c>
      <c r="K18" s="5" t="n">
        <v>0</v>
      </c>
      <c r="L18" s="4" t="n">
        <v>0</v>
      </c>
      <c r="M18" s="4" t="n">
        <v>200000</v>
      </c>
      <c r="N18" s="2" t="inlineStr">
        <is>
          <t>posted</t>
        </is>
      </c>
      <c r="O18" s="2" t="inlineStr">
        <is>
          <t>service revenue</t>
        </is>
      </c>
      <c r="P18" s="2" t="n">
        <v>1</v>
      </c>
    </row>
    <row r="19">
      <c r="A19" s="2" t="inlineStr">
        <is>
          <t>DE-2025-1511</t>
        </is>
      </c>
      <c r="B19" s="2" t="inlineStr">
        <is>
          <t>invoice</t>
        </is>
      </c>
      <c r="C19" s="3" t="n">
        <v>45964</v>
      </c>
      <c r="D19" s="3" t="n">
        <v>45994</v>
      </c>
      <c r="E19" s="2" t="inlineStr">
        <is>
          <t>HVW-DE</t>
        </is>
      </c>
      <c r="F19" s="2" t="inlineStr">
        <is>
          <t>CUS-DE-044</t>
        </is>
      </c>
      <c r="G19" s="2" t="inlineStr"/>
      <c r="H19" s="2" t="inlineStr">
        <is>
          <t>Spare parts and mobile service teams</t>
        </is>
      </c>
      <c r="I19" s="2" t="inlineStr">
        <is>
          <t>EUR</t>
        </is>
      </c>
      <c r="J19" s="4" t="n">
        <v>340000</v>
      </c>
      <c r="K19" s="5" t="n">
        <v>0.19</v>
      </c>
      <c r="L19" s="4" t="n">
        <v>64600</v>
      </c>
      <c r="M19" s="4" t="n">
        <v>404600</v>
      </c>
      <c r="N19" s="2" t="inlineStr">
        <is>
          <t>posted</t>
        </is>
      </c>
      <c r="O19" s="2" t="inlineStr">
        <is>
          <t>parts and service revenue</t>
        </is>
      </c>
      <c r="P19" s="2" t="n">
        <v>1</v>
      </c>
    </row>
    <row r="20">
      <c r="A20" s="2" t="inlineStr">
        <is>
          <t>DE-2025-1588</t>
        </is>
      </c>
      <c r="B20" s="2" t="inlineStr">
        <is>
          <t>invoice</t>
        </is>
      </c>
      <c r="C20" s="3" t="n">
        <v>46009</v>
      </c>
      <c r="D20" s="3" t="n">
        <v>46039</v>
      </c>
      <c r="E20" s="2" t="inlineStr">
        <is>
          <t>HVW-DE</t>
        </is>
      </c>
      <c r="F20" s="2" t="inlineStr">
        <is>
          <t>CUS-UK-017</t>
        </is>
      </c>
      <c r="G20" s="2" t="inlineStr">
        <is>
          <t>DESIGN-42</t>
        </is>
      </c>
      <c r="H20" s="2" t="inlineStr">
        <is>
          <t>Concept design licence</t>
        </is>
      </c>
      <c r="I20" s="2" t="inlineStr">
        <is>
          <t>EUR</t>
        </is>
      </c>
      <c r="J20" s="4" t="n">
        <v>500000</v>
      </c>
      <c r="K20" s="5" t="n">
        <v>0</v>
      </c>
      <c r="L20" s="4" t="n">
        <v>0</v>
      </c>
      <c r="M20" s="4" t="n">
        <v>500000</v>
      </c>
      <c r="N20" s="2" t="inlineStr">
        <is>
          <t>posted</t>
        </is>
      </c>
      <c r="O20" s="2" t="inlineStr">
        <is>
          <t>licence revenue; not a vessel build</t>
        </is>
      </c>
      <c r="P20" s="2" t="n">
        <v>1</v>
      </c>
    </row>
    <row r="21">
      <c r="A21" s="2" t="inlineStr">
        <is>
          <t>IC-DE-25031</t>
        </is>
      </c>
      <c r="B21" s="2" t="inlineStr">
        <is>
          <t>invoice</t>
        </is>
      </c>
      <c r="C21" s="3" t="n">
        <v>45747</v>
      </c>
      <c r="D21" s="3" t="n">
        <v>45777</v>
      </c>
      <c r="E21" s="2" t="inlineStr">
        <is>
          <t>HVW-DE</t>
        </is>
      </c>
      <c r="F21" s="2" t="inlineStr">
        <is>
          <t>IC-BHW-PL</t>
        </is>
      </c>
      <c r="G21" s="2" t="inlineStr">
        <is>
          <t>VSL-2411</t>
        </is>
      </c>
      <c r="H21" s="2" t="inlineStr">
        <is>
          <t>Engineering and procurement recharge Q1</t>
        </is>
      </c>
      <c r="I21" s="2" t="inlineStr">
        <is>
          <t>EUR</t>
        </is>
      </c>
      <c r="J21" s="4" t="n">
        <v>315000</v>
      </c>
      <c r="K21" s="5" t="n">
        <v>0</v>
      </c>
      <c r="L21" s="4" t="n">
        <v>0</v>
      </c>
      <c r="M21" s="4" t="n">
        <v>315000</v>
      </c>
      <c r="N21" s="2" t="inlineStr">
        <is>
          <t>posted</t>
        </is>
      </c>
      <c r="O21" s="2" t="inlineStr">
        <is>
          <t>intercompany revenue</t>
        </is>
      </c>
      <c r="P21" s="2" t="n">
        <v>1</v>
      </c>
    </row>
    <row r="22">
      <c r="A22" s="2" t="inlineStr">
        <is>
          <t>IC-DE-25062</t>
        </is>
      </c>
      <c r="B22" s="2" t="inlineStr">
        <is>
          <t>invoice</t>
        </is>
      </c>
      <c r="C22" s="3" t="n">
        <v>45838</v>
      </c>
      <c r="D22" s="3" t="n">
        <v>45868</v>
      </c>
      <c r="E22" s="2" t="inlineStr">
        <is>
          <t>HVW-DE</t>
        </is>
      </c>
      <c r="F22" s="2" t="inlineStr">
        <is>
          <t>IC-BHW-PL</t>
        </is>
      </c>
      <c r="G22" s="2" t="inlineStr">
        <is>
          <t>VSL-2502</t>
        </is>
      </c>
      <c r="H22" s="2" t="inlineStr">
        <is>
          <t>Engineering and procurement recharge Q2</t>
        </is>
      </c>
      <c r="I22" s="2" t="inlineStr">
        <is>
          <t>EUR</t>
        </is>
      </c>
      <c r="J22" s="4" t="n">
        <v>280000</v>
      </c>
      <c r="K22" s="5" t="n">
        <v>0</v>
      </c>
      <c r="L22" s="4" t="n">
        <v>0</v>
      </c>
      <c r="M22" s="4" t="n">
        <v>280000</v>
      </c>
      <c r="N22" s="2" t="inlineStr">
        <is>
          <t>posted</t>
        </is>
      </c>
      <c r="O22" s="2" t="inlineStr">
        <is>
          <t>intercompany revenue</t>
        </is>
      </c>
      <c r="P22" s="2" t="n">
        <v>1</v>
      </c>
    </row>
    <row r="23">
      <c r="A23" s="2" t="inlineStr">
        <is>
          <t>IC-PL-25091</t>
        </is>
      </c>
      <c r="B23" s="2" t="inlineStr">
        <is>
          <t>invoice</t>
        </is>
      </c>
      <c r="C23" s="3" t="n">
        <v>45930</v>
      </c>
      <c r="D23" s="3" t="n">
        <v>45960</v>
      </c>
      <c r="E23" s="2" t="inlineStr">
        <is>
          <t>BHW-PL</t>
        </is>
      </c>
      <c r="F23" s="2" t="inlineStr">
        <is>
          <t>IC-HVW-DE</t>
        </is>
      </c>
      <c r="G23" s="2" t="inlineStr">
        <is>
          <t>VSL-2407</t>
        </is>
      </c>
      <c r="H23" s="2" t="inlineStr">
        <is>
          <t>Yard labour recharge</t>
        </is>
      </c>
      <c r="I23" s="2" t="inlineStr">
        <is>
          <t>EUR</t>
        </is>
      </c>
      <c r="J23" s="4" t="n">
        <v>365000</v>
      </c>
      <c r="K23" s="5" t="n">
        <v>0</v>
      </c>
      <c r="L23" s="4" t="n">
        <v>0</v>
      </c>
      <c r="M23" s="4" t="n">
        <v>365000</v>
      </c>
      <c r="N23" s="2" t="inlineStr">
        <is>
          <t>posted</t>
        </is>
      </c>
      <c r="O23" s="2" t="inlineStr">
        <is>
          <t>intercompany revenue</t>
        </is>
      </c>
      <c r="P23" s="2" t="n">
        <v>1</v>
      </c>
    </row>
    <row r="24">
      <c r="A24" s="2" t="inlineStr">
        <is>
          <t>IC-PL-25121</t>
        </is>
      </c>
      <c r="B24" s="2" t="inlineStr">
        <is>
          <t>invoice</t>
        </is>
      </c>
      <c r="C24" s="3" t="n">
        <v>46022</v>
      </c>
      <c r="D24" s="3" t="n">
        <v>46052</v>
      </c>
      <c r="E24" s="2" t="inlineStr">
        <is>
          <t>BHW-PL</t>
        </is>
      </c>
      <c r="F24" s="2" t="inlineStr">
        <is>
          <t>IC-HVW-DE</t>
        </is>
      </c>
      <c r="G24" s="2" t="inlineStr">
        <is>
          <t>VSL-2504</t>
        </is>
      </c>
      <c r="H24" s="2" t="inlineStr">
        <is>
          <t>Yard capacity and launch support</t>
        </is>
      </c>
      <c r="I24" s="2" t="inlineStr">
        <is>
          <t>EUR</t>
        </is>
      </c>
      <c r="J24" s="4" t="n">
        <v>300000</v>
      </c>
      <c r="K24" s="5" t="n">
        <v>0</v>
      </c>
      <c r="L24" s="4" t="n">
        <v>0</v>
      </c>
      <c r="M24" s="4" t="n">
        <v>300000</v>
      </c>
      <c r="N24" s="2" t="inlineStr">
        <is>
          <t>posted</t>
        </is>
      </c>
      <c r="O24" s="2" t="inlineStr">
        <is>
          <t>intercompany revenue</t>
        </is>
      </c>
      <c r="P24" s="2" t="n">
        <v>1</v>
      </c>
    </row>
    <row r="25">
      <c r="A25" s="6" t="inlineStr">
        <is>
          <t>PL/2025/00813</t>
        </is>
      </c>
      <c r="B25" s="6" t="inlineStr">
        <is>
          <t>invoice</t>
        </is>
      </c>
      <c r="C25" s="7" t="n">
        <v>45918</v>
      </c>
      <c r="D25" s="7" t="n">
        <v>45948</v>
      </c>
      <c r="E25" s="6" t="inlineStr">
        <is>
          <t>BHW-PL</t>
        </is>
      </c>
      <c r="F25" s="6" t="inlineStr">
        <is>
          <t>CUS-DK-022</t>
        </is>
      </c>
      <c r="G25" s="6" t="inlineStr">
        <is>
          <t>BS-11</t>
        </is>
      </c>
      <c r="H25" s="6" t="inlineStr">
        <is>
          <t>Acceptance invoice preview - DO NOT POST</t>
        </is>
      </c>
      <c r="I25" s="6" t="inlineStr">
        <is>
          <t>EUR</t>
        </is>
      </c>
      <c r="J25" s="8" t="n">
        <v>800000</v>
      </c>
      <c r="K25" s="9" t="n">
        <v>0</v>
      </c>
      <c r="L25" s="8" t="n">
        <v>0</v>
      </c>
      <c r="M25" s="8" t="n">
        <v>800000</v>
      </c>
      <c r="N25" s="6" t="inlineStr">
        <is>
          <t>draft</t>
        </is>
      </c>
      <c r="O25" s="6" t="inlineStr">
        <is>
          <t>not posted</t>
        </is>
      </c>
      <c r="P25" s="6" t="n">
        <v>1</v>
      </c>
    </row>
  </sheetData>
  <autoFilter ref="A1:P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36" customWidth="1" min="4" max="4"/>
    <col width="42" customWidth="1" min="5" max="5"/>
  </cols>
  <sheetData>
    <row r="1" ht="32" customHeight="1">
      <c r="A1" s="1" t="inlineStr">
        <is>
          <t>project_id</t>
        </is>
      </c>
      <c r="B1" s="1" t="inlineStr">
        <is>
          <t>description</t>
        </is>
      </c>
      <c r="C1" s="1" t="inlineStr">
        <is>
          <t>revenue_2025_eur</t>
        </is>
      </c>
      <c r="D1" s="1" t="inlineStr">
        <is>
          <t>recognition_basis</t>
        </is>
      </c>
      <c r="E1" s="1" t="inlineStr">
        <is>
          <t>classification</t>
        </is>
      </c>
    </row>
    <row r="2">
      <c r="A2" s="2" t="inlineStr">
        <is>
          <t>VSL-2407</t>
        </is>
      </c>
      <c r="B2" s="2" t="inlineStr">
        <is>
          <t>M/V Nordlicht</t>
        </is>
      </c>
      <c r="C2" s="4" t="n">
        <v>3400000</v>
      </c>
      <c r="D2" s="2" t="inlineStr">
        <is>
          <t>accepted 2025-03-28</t>
        </is>
      </c>
      <c r="E2" s="2" t="inlineStr">
        <is>
          <t>external vessel revenue</t>
        </is>
      </c>
    </row>
    <row r="3">
      <c r="A3" s="2" t="inlineStr">
        <is>
          <t>VSL-2411</t>
        </is>
      </c>
      <c r="B3" s="2" t="inlineStr">
        <is>
          <t>Baltic Surveyor</t>
        </is>
      </c>
      <c r="C3" s="4" t="n">
        <v>4000000</v>
      </c>
      <c r="D3" s="2" t="inlineStr">
        <is>
          <t>accepted 2025-09-19</t>
        </is>
      </c>
      <c r="E3" s="2" t="inlineStr">
        <is>
          <t>external vessel revenue</t>
        </is>
      </c>
    </row>
    <row r="4">
      <c r="A4" s="2" t="inlineStr">
        <is>
          <t>VSL-2504</t>
        </is>
      </c>
      <c r="B4" s="2" t="inlineStr">
        <is>
          <t>Amber Pilot</t>
        </is>
      </c>
      <c r="C4" s="4" t="n">
        <v>1480000</v>
      </c>
      <c r="D4" s="2" t="inlineStr">
        <is>
          <t>accepted 2025-12-12</t>
        </is>
      </c>
      <c r="E4" s="2" t="inlineStr">
        <is>
          <t>external vessel revenue</t>
        </is>
      </c>
    </row>
    <row r="5">
      <c r="A5" s="2" t="inlineStr">
        <is>
          <t>VSL-2502</t>
        </is>
      </c>
      <c r="B5" s="2" t="inlineStr">
        <is>
          <t>Elbe Runner</t>
        </is>
      </c>
      <c r="C5" s="4" t="n">
        <v>1598000</v>
      </c>
      <c r="D5" s="2" t="inlineStr">
        <is>
          <t>68% internal cost-to-cost estimate</t>
        </is>
      </c>
      <c r="E5" s="2" t="inlineStr">
        <is>
          <t>management-only POC; disputed by contract</t>
        </is>
      </c>
    </row>
    <row r="6">
      <c r="A6" s="2" t="inlineStr">
        <is>
          <t>SERVICES</t>
        </is>
      </c>
      <c r="B6" s="2" t="inlineStr">
        <is>
          <t>Refit, repair, upgrade, spares, design</t>
        </is>
      </c>
      <c r="C6" s="4" t="n">
        <v>2580000</v>
      </c>
      <c r="D6" s="2" t="inlineStr">
        <is>
          <t>completed or delivered in 2025</t>
        </is>
      </c>
      <c r="E6" s="2" t="inlineStr">
        <is>
          <t>external non-vessel revenue</t>
        </is>
      </c>
    </row>
    <row r="7">
      <c r="A7" s="2" t="inlineStr">
        <is>
          <t>VSL-2506</t>
        </is>
      </c>
      <c r="B7" s="2" t="inlineStr">
        <is>
          <t>Hansa Tug</t>
        </is>
      </c>
      <c r="C7" s="4" t="n">
        <v>0</v>
      </c>
      <c r="D7" s="2" t="inlineStr">
        <is>
          <t>LOI cancelled</t>
        </is>
      </c>
      <c r="E7" s="2" t="inlineStr">
        <is>
          <t>deposit is refundable</t>
        </is>
      </c>
    </row>
    <row r="9">
      <c r="A9" t="inlineStr">
        <is>
          <t>Management total</t>
        </is>
      </c>
      <c r="C9">
        <f>SUM(C2:C7)</f>
        <v/>
      </c>
    </row>
    <row r="10">
      <c r="A10" t="inlineStr">
        <is>
          <t>External revenue excluding disputed POC</t>
        </is>
      </c>
      <c r="C10">
        <f>11460000</f>
        <v/>
      </c>
    </row>
    <row r="11">
      <c r="A11" t="inlineStr">
        <is>
          <t>Warning</t>
        </is>
      </c>
      <c r="C11" t="inlineStr">
        <is>
          <t>This sheet is a management schedule, not the audited revenue ledger.</t>
        </is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5" customWidth="1" min="2" max="2"/>
    <col width="25" customWidth="1" min="3" max="3"/>
    <col width="17" customWidth="1" min="4" max="4"/>
    <col width="22" customWidth="1" min="5" max="5"/>
    <col width="42" customWidth="1" min="6" max="6"/>
  </cols>
  <sheetData>
    <row r="1" ht="32" customHeight="1">
      <c r="A1" s="1" t="inlineStr">
        <is>
          <t>project_id</t>
        </is>
      </c>
      <c r="B1" s="1" t="inlineStr">
        <is>
          <t>vessel</t>
        </is>
      </c>
      <c r="C1" s="1" t="inlineStr">
        <is>
          <t>vessel_contract_revenue</t>
        </is>
      </c>
      <c r="D1" s="1" t="inlineStr">
        <is>
          <t>service_revenue</t>
        </is>
      </c>
      <c r="E1" s="1" t="inlineStr">
        <is>
          <t>total_linked_revenue</t>
        </is>
      </c>
      <c r="F1" s="1" t="inlineStr">
        <is>
          <t>note</t>
        </is>
      </c>
    </row>
    <row r="2">
      <c r="A2" s="2" t="inlineStr">
        <is>
          <t>VSL-2407</t>
        </is>
      </c>
      <c r="B2" s="2" t="inlineStr">
        <is>
          <t>M/V Nordlicht</t>
        </is>
      </c>
      <c r="C2" s="4" t="n">
        <v>3400000</v>
      </c>
      <c r="D2" s="4" t="n">
        <v>200000</v>
      </c>
      <c r="E2" s="4" t="n">
        <v>3600000</v>
      </c>
      <c r="F2" s="2" t="inlineStr">
        <is>
          <t>Includes post-delivery upgrade</t>
        </is>
      </c>
    </row>
    <row r="3">
      <c r="A3" s="2" t="inlineStr">
        <is>
          <t>VSL-2411</t>
        </is>
      </c>
      <c r="B3" s="2" t="inlineStr">
        <is>
          <t>Baltic Surveyor</t>
        </is>
      </c>
      <c r="C3" s="4" t="n">
        <v>4000000</v>
      </c>
      <c r="D3" s="4" t="n">
        <v>0</v>
      </c>
      <c r="E3" s="4" t="n">
        <v>4000000</v>
      </c>
      <c r="F3" s="2" t="inlineStr">
        <is>
          <t>Contract sale only</t>
        </is>
      </c>
    </row>
    <row r="4">
      <c r="A4" s="2" t="inlineStr">
        <is>
          <t>VSL-2504</t>
        </is>
      </c>
      <c r="B4" s="2" t="inlineStr">
        <is>
          <t>Amber Pilot</t>
        </is>
      </c>
      <c r="C4" s="4" t="n">
        <v>1480000</v>
      </c>
      <c r="D4" s="4" t="n">
        <v>0</v>
      </c>
      <c r="E4" s="4" t="n">
        <v>1480000</v>
      </c>
      <c r="F4" s="2" t="inlineStr">
        <is>
          <t>Contract sale only</t>
        </is>
      </c>
    </row>
    <row r="5">
      <c r="A5" s="2" t="inlineStr">
        <is>
          <t>VSL-2502</t>
        </is>
      </c>
      <c r="B5" s="2" t="inlineStr">
        <is>
          <t>Elbe Runner</t>
        </is>
      </c>
      <c r="C5" s="4" t="n">
        <v>0</v>
      </c>
      <c r="D5" s="4" t="n">
        <v>0</v>
      </c>
      <c r="E5" s="4" t="n">
        <v>0</v>
      </c>
      <c r="F5" s="2" t="inlineStr">
        <is>
          <t>Not accepted; management separately books POC</t>
        </is>
      </c>
    </row>
    <row r="6">
      <c r="A6" s="2" t="inlineStr">
        <is>
          <t>VSL-2506</t>
        </is>
      </c>
      <c r="B6" s="2" t="inlineStr">
        <is>
          <t>Hansa Tug</t>
        </is>
      </c>
      <c r="C6" s="4" t="n">
        <v>0</v>
      </c>
      <c r="D6" s="4" t="n">
        <v>0</v>
      </c>
      <c r="E6" s="4" t="n">
        <v>0</v>
      </c>
      <c r="F6" s="2" t="inlineStr">
        <is>
          <t>LOI cancelled</t>
        </is>
      </c>
    </row>
    <row r="7">
      <c r="A7" s="2" t="inlineStr">
        <is>
          <t>OTHER</t>
        </is>
      </c>
      <c r="B7" s="2" t="inlineStr">
        <is>
          <t>Customer vessels not built by HVW</t>
        </is>
      </c>
      <c r="C7" s="4" t="n">
        <v>0</v>
      </c>
      <c r="D7" s="4" t="n">
        <v>1540000</v>
      </c>
      <c r="E7" s="4" t="n">
        <v>1540000</v>
      </c>
      <c r="F7" s="2" t="inlineStr">
        <is>
          <t>Refit and repair</t>
        </is>
      </c>
    </row>
    <row r="8">
      <c r="A8" s="2" t="inlineStr">
        <is>
          <t>UNALLOCATED</t>
        </is>
      </c>
      <c r="B8" s="2" t="inlineStr">
        <is>
          <t>Spares and design licence</t>
        </is>
      </c>
      <c r="C8" s="4" t="n">
        <v>0</v>
      </c>
      <c r="D8" s="4" t="n">
        <v>840000</v>
      </c>
      <c r="E8" s="4" t="n">
        <v>840000</v>
      </c>
      <c r="F8" s="2" t="inlineStr">
        <is>
          <t>No reliable vessel identifier</t>
        </is>
      </c>
    </row>
  </sheetData>
  <autoFilter ref="A1:F8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Hanseatic Vessel Works Group GmbH</dc:creator>
  <dc:title>Sales invoices and credit notes</dc:title>
  <dc:description>Synthetic business document. Contains deliberate inconsistencies.</dc:description>
  <dc:subject>Fictional vessel-company test corpus</dc:subject>
  <dcterms:created xsi:type="dcterms:W3CDTF">2026-01-15T09:30:00Z</dcterms:created>
  <dcterms:modified xsi:type="dcterms:W3CDTF">2026-08-02T10:25:48Z</dcterms:modified>
</cp:coreProperties>
</file>